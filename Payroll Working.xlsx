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dencemt-my.sharepoint.com/personal/tatik_credence_com_mt/Documents/"/>
    </mc:Choice>
  </mc:AlternateContent>
  <xr:revisionPtr revIDLastSave="5" documentId="8_{D9A8BC05-4A2E-4DB6-A1CE-474119E7A32F}" xr6:coauthVersionLast="47" xr6:coauthVersionMax="47" xr10:uidLastSave="{87EB6AC2-8286-443B-8CD1-7CB98841F6B1}"/>
  <bookViews>
    <workbookView xWindow="-110" yWindow="-110" windowWidth="19420" windowHeight="11500" xr2:uid="{913E3691-2B8F-43FF-97CF-D3AC385044E0}"/>
  </bookViews>
  <sheets>
    <sheet name="Sheet3" sheetId="1" r:id="rId1"/>
    <sheet name="SSC 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4" i="1"/>
  <c r="D3" i="1"/>
  <c r="F2" i="1"/>
  <c r="F3" i="1" s="1"/>
  <c r="C2" i="1"/>
  <c r="D2" i="1" l="1"/>
  <c r="B21" i="1" l="1"/>
  <c r="B20" i="1"/>
  <c r="B19" i="1"/>
  <c r="B18" i="1"/>
  <c r="B17" i="1"/>
  <c r="B16" i="1"/>
  <c r="B15" i="1"/>
  <c r="B14" i="1"/>
  <c r="B13" i="1"/>
  <c r="B12" i="1"/>
  <c r="B11" i="1"/>
  <c r="B10" i="1"/>
  <c r="I10" i="1" l="1"/>
  <c r="K10" i="1" s="1"/>
  <c r="G10" i="1"/>
  <c r="I11" i="1"/>
  <c r="K11" i="1" s="1"/>
  <c r="G11" i="1"/>
  <c r="G12" i="1"/>
  <c r="I12" i="1"/>
  <c r="K12" i="1" s="1"/>
  <c r="G13" i="1"/>
  <c r="I13" i="1"/>
  <c r="K13" i="1" s="1"/>
  <c r="I14" i="1"/>
  <c r="K14" i="1" s="1"/>
  <c r="G14" i="1"/>
  <c r="I15" i="1"/>
  <c r="K15" i="1" s="1"/>
  <c r="G15" i="1"/>
  <c r="I16" i="1"/>
  <c r="K16" i="1" s="1"/>
  <c r="G16" i="1"/>
  <c r="I17" i="1"/>
  <c r="K17" i="1" s="1"/>
  <c r="G17" i="1"/>
  <c r="G18" i="1"/>
  <c r="I18" i="1"/>
  <c r="K18" i="1" s="1"/>
  <c r="G19" i="1"/>
  <c r="I19" i="1"/>
  <c r="K19" i="1" s="1"/>
  <c r="I20" i="1"/>
  <c r="K20" i="1" s="1"/>
  <c r="G20" i="1"/>
  <c r="I21" i="1"/>
  <c r="K21" i="1" s="1"/>
  <c r="G21" i="1"/>
  <c r="L19" i="1" l="1"/>
  <c r="L12" i="1"/>
  <c r="L13" i="1"/>
  <c r="L11" i="1"/>
  <c r="L15" i="1"/>
  <c r="L20" i="1"/>
  <c r="L18" i="1"/>
  <c r="L17" i="1"/>
  <c r="L16" i="1"/>
  <c r="L10" i="1"/>
  <c r="M10" i="1" s="1"/>
  <c r="L21" i="1"/>
  <c r="L14" i="1"/>
  <c r="M11" i="1" l="1"/>
  <c r="P10" i="1"/>
  <c r="N10" i="1" l="1"/>
  <c r="Q10" i="1"/>
  <c r="M12" i="1"/>
  <c r="P11" i="1"/>
  <c r="Q11" i="1" s="1"/>
  <c r="M13" i="1" l="1"/>
  <c r="N11" i="1"/>
  <c r="P12" i="1" l="1"/>
  <c r="Q12" i="1" s="1"/>
  <c r="M14" i="1"/>
  <c r="M15" i="1" l="1"/>
  <c r="N12" i="1"/>
  <c r="P13" i="1" l="1"/>
  <c r="Q13" i="1" s="1"/>
  <c r="M16" i="1"/>
  <c r="N13" i="1" l="1"/>
  <c r="M17" i="1"/>
  <c r="P14" i="1"/>
  <c r="Q14" i="1" s="1"/>
  <c r="N14" i="1" l="1"/>
  <c r="M18" i="1"/>
  <c r="M19" i="1" l="1"/>
  <c r="P15" i="1"/>
  <c r="Q15" i="1" s="1"/>
  <c r="N15" i="1" l="1"/>
  <c r="M20" i="1"/>
  <c r="M21" i="1" l="1"/>
  <c r="P16" i="1"/>
  <c r="Q16" i="1" s="1"/>
  <c r="N16" i="1" l="1"/>
  <c r="P17" i="1"/>
  <c r="Q17" i="1" s="1"/>
  <c r="N17" i="1" l="1"/>
  <c r="P18" i="1" l="1"/>
  <c r="Q18" i="1" s="1"/>
  <c r="N18" i="1" l="1"/>
  <c r="P19" i="1" l="1"/>
  <c r="Q19" i="1" s="1"/>
  <c r="N19" i="1" l="1"/>
  <c r="P20" i="1" l="1"/>
  <c r="Q20" i="1" s="1"/>
  <c r="N20" i="1" l="1"/>
  <c r="P21" i="1" l="1"/>
  <c r="Q21" i="1" s="1"/>
  <c r="Q22" i="1" l="1"/>
  <c r="N21" i="1"/>
</calcChain>
</file>

<file path=xl/sharedStrings.xml><?xml version="1.0" encoding="utf-8"?>
<sst xmlns="http://schemas.openxmlformats.org/spreadsheetml/2006/main" count="35" uniqueCount="34">
  <si>
    <t>Salary Pack</t>
  </si>
  <si>
    <t>Gross Salary</t>
  </si>
  <si>
    <t>Yearly non tax</t>
  </si>
  <si>
    <t>Yearrly taxable</t>
  </si>
  <si>
    <t>Bonus</t>
  </si>
  <si>
    <t>BD</t>
  </si>
  <si>
    <t>Month</t>
  </si>
  <si>
    <t>Basic Salary</t>
  </si>
  <si>
    <t>tax benefit</t>
  </si>
  <si>
    <t>non tax benefit</t>
  </si>
  <si>
    <t>Government Bonus</t>
  </si>
  <si>
    <t>Gross total</t>
  </si>
  <si>
    <t>week of month</t>
  </si>
  <si>
    <t>SSC Base</t>
  </si>
  <si>
    <t>SSC Category</t>
  </si>
  <si>
    <t>SSC Tax</t>
  </si>
  <si>
    <t>Income Base</t>
  </si>
  <si>
    <t>Kumulative Income Base</t>
  </si>
  <si>
    <t>Kumulative tax payment</t>
  </si>
  <si>
    <t>Relevant month</t>
  </si>
  <si>
    <t>Income Tax</t>
  </si>
  <si>
    <t>Net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</si>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</sst>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4" fontId="0" fillId="0" borderId="0" xfId="1" applyNumberFormat="1" applyFont="1"/>
    <xf numFmtId="14" fontId="0" fillId="0" borderId="0" xfId="1" applyNumberFormat="1" applyFont="1"/>
    <xf numFmtId="43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44734</xdr:colOff>
      <xdr:row>23</xdr:row>
      <xdr:rowOff>31969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9E5B1-AFF1-3EDF-F12E-D0A4D06E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31134" cy="4267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F62F-14A2-4926-B862-C7FA73C7456A}">
  <dimension ref="A1:W24"/>
  <sheetViews>
    <sheetView tabSelected="1" workbookViewId="0">
      <selection activeCell="B2" sqref="B2"/>
    </sheetView>
  </sheetViews>
  <sheetFormatPr defaultRowHeight="14.5" x14ac:dyDescent="0.35"/>
  <cols>
    <col min="2" max="2" width="19.26953125" bestFit="1" customWidth="1"/>
    <col min="3" max="3" width="12.54296875" bestFit="1" customWidth="1"/>
    <col min="4" max="4" width="14" bestFit="1" customWidth="1"/>
    <col min="5" max="5" width="11.453125" customWidth="1"/>
    <col min="6" max="6" width="19.26953125" bestFit="1" customWidth="1"/>
    <col min="7" max="7" width="12" bestFit="1" customWidth="1"/>
    <col min="8" max="8" width="15.26953125" bestFit="1" customWidth="1"/>
    <col min="9" max="9" width="9.54296875" bestFit="1" customWidth="1"/>
    <col min="10" max="10" width="13.08984375" bestFit="1" customWidth="1"/>
    <col min="11" max="11" width="9.54296875" bestFit="1" customWidth="1"/>
    <col min="12" max="12" width="13.81640625" bestFit="1" customWidth="1"/>
    <col min="13" max="13" width="24.453125" bestFit="1" customWidth="1"/>
    <col min="14" max="15" width="24.453125" customWidth="1"/>
    <col min="16" max="16" width="12.453125" style="5" bestFit="1" customWidth="1"/>
    <col min="17" max="18" width="10.1796875" bestFit="1" customWidth="1"/>
    <col min="19" max="19" width="9.1796875" bestFit="1" customWidth="1"/>
    <col min="20" max="20" width="10.08984375" bestFit="1" customWidth="1"/>
  </cols>
  <sheetData>
    <row r="1" spans="1:23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</row>
    <row r="2" spans="1:23" x14ac:dyDescent="0.35">
      <c r="B2" s="1" t="s">
        <v>1</v>
      </c>
      <c r="C2" s="1">
        <f>C1-C3-C4</f>
        <v>0</v>
      </c>
      <c r="D2" s="1">
        <f>C2/12</f>
        <v>0</v>
      </c>
      <c r="E2" s="1"/>
      <c r="F2" s="1">
        <f>E2/52</f>
        <v>0</v>
      </c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</row>
    <row r="3" spans="1:23" x14ac:dyDescent="0.35">
      <c r="B3" s="1" t="s">
        <v>2</v>
      </c>
      <c r="C3" s="1"/>
      <c r="D3" s="1">
        <f>C3/12</f>
        <v>0</v>
      </c>
      <c r="E3" s="1"/>
      <c r="F3" s="1">
        <f>F2*4</f>
        <v>0</v>
      </c>
      <c r="G3" s="1"/>
      <c r="H3" s="1"/>
      <c r="I3" s="1"/>
      <c r="J3" s="1"/>
      <c r="K3" s="1"/>
      <c r="L3" s="1"/>
      <c r="M3" s="1"/>
      <c r="N3" s="1"/>
      <c r="O3" s="1"/>
      <c r="P3" s="2"/>
      <c r="Q3" s="1"/>
      <c r="R3" s="1"/>
      <c r="S3" s="1"/>
      <c r="T3" s="1"/>
      <c r="U3" s="1"/>
      <c r="V3" s="1"/>
      <c r="W3" s="1"/>
    </row>
    <row r="4" spans="1:23" x14ac:dyDescent="0.35">
      <c r="B4" s="1" t="s">
        <v>3</v>
      </c>
      <c r="C4" s="1"/>
      <c r="D4" s="1">
        <f>C4/12</f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1"/>
      <c r="T4" s="1"/>
      <c r="U4" s="1"/>
      <c r="V4" s="1"/>
      <c r="W4" s="1"/>
    </row>
    <row r="5" spans="1:23" x14ac:dyDescent="0.35">
      <c r="B5" s="1" t="s">
        <v>4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1"/>
      <c r="R5" s="1"/>
      <c r="S5" s="1"/>
      <c r="T5" s="1"/>
      <c r="U5" s="1"/>
      <c r="V5" s="1"/>
      <c r="W5" s="1"/>
    </row>
    <row r="6" spans="1:23" x14ac:dyDescent="0.35">
      <c r="B6" s="1" t="s">
        <v>5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1"/>
      <c r="R6" s="1"/>
      <c r="S6" s="1"/>
      <c r="T6" s="1"/>
      <c r="U6" s="1"/>
      <c r="V6" s="1"/>
      <c r="W6" s="1"/>
    </row>
    <row r="7" spans="1:23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1"/>
      <c r="R7" s="1"/>
      <c r="S7" s="1"/>
      <c r="T7" s="1"/>
      <c r="U7" s="1"/>
      <c r="V7" s="1"/>
      <c r="W7" s="1"/>
    </row>
    <row r="8" spans="1:23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1"/>
      <c r="R8" s="1"/>
      <c r="S8" s="1"/>
      <c r="T8" s="1"/>
      <c r="U8" s="1"/>
      <c r="V8" s="1"/>
      <c r="W8" s="1"/>
    </row>
    <row r="9" spans="1:23" x14ac:dyDescent="0.35">
      <c r="A9" t="s">
        <v>6</v>
      </c>
      <c r="B9" s="1" t="s">
        <v>7</v>
      </c>
      <c r="C9" s="1" t="s">
        <v>8</v>
      </c>
      <c r="D9" s="1" t="s">
        <v>9</v>
      </c>
      <c r="E9" s="1" t="s">
        <v>4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16</v>
      </c>
      <c r="M9" s="1" t="s">
        <v>17</v>
      </c>
      <c r="N9" s="1" t="s">
        <v>18</v>
      </c>
      <c r="O9" s="1" t="s">
        <v>19</v>
      </c>
      <c r="P9" s="2" t="s">
        <v>20</v>
      </c>
      <c r="Q9" s="1" t="s">
        <v>21</v>
      </c>
      <c r="R9" s="1"/>
      <c r="S9" s="1"/>
      <c r="T9" s="1"/>
      <c r="U9" s="1"/>
      <c r="V9" s="1"/>
      <c r="W9" s="1"/>
    </row>
    <row r="10" spans="1:23" x14ac:dyDescent="0.35">
      <c r="A10" t="s">
        <v>22</v>
      </c>
      <c r="B10" s="1">
        <f>$D$2</f>
        <v>0</v>
      </c>
      <c r="C10" s="1">
        <f t="shared" ref="C10:C21" si="0">$C$3/12</f>
        <v>0</v>
      </c>
      <c r="D10" s="1">
        <f t="shared" ref="D10:D21" si="1">$C$4/12</f>
        <v>0</v>
      </c>
      <c r="E10" s="1"/>
      <c r="F10" s="1"/>
      <c r="G10" s="1">
        <f>B10+C10+D10+E10+F10</f>
        <v>0</v>
      </c>
      <c r="H10" s="1">
        <v>4</v>
      </c>
      <c r="I10" s="1">
        <f>IF((B10*12)/52&lt;559.31,(B10*12)/52*H10,559.31*H10)</f>
        <v>0</v>
      </c>
      <c r="J10" s="1"/>
      <c r="K10" s="1">
        <f>IF(J10="A",6.62*H10,
 IF(J10="B",MIN(22.94*H10,ROUND(I10*0.1,2)),
 IF(J10="C",
    IF($C$6&lt;DATE(1962,1,1),
        MIN(49.04*H10,ROUND(I10*0.1,2)),
        MIN(55.93*H10,ROUND(I10*0.1,2))
    ),
 IF(J10="D",
    IF($C$6&lt;DATE(1962,1,1),
        49.04*H10,
        55.93*H10
    ),
 0))))</f>
        <v>0</v>
      </c>
      <c r="L10" s="1">
        <f>G10-C10</f>
        <v>0</v>
      </c>
      <c r="M10" s="1">
        <f>L10</f>
        <v>0</v>
      </c>
      <c r="N10" s="1">
        <f>P10</f>
        <v>0</v>
      </c>
      <c r="O10" s="1">
        <v>1</v>
      </c>
      <c r="P10" s="2">
        <f>IF($C$2&lt;=12000,
0,
IF($C$2&lt;=16000,
(((M10*12)*15%)-1800)/12,
IF($C$2&lt;=60000,
(((M10*12)*25%)-3400)/12,
(((M10*12)*35%)-9400)/12
)))</f>
        <v>0</v>
      </c>
      <c r="Q10" s="1">
        <f>G10-K10-P10</f>
        <v>0</v>
      </c>
      <c r="R10" s="1"/>
      <c r="S10" s="1"/>
      <c r="T10" s="1"/>
      <c r="U10" s="1"/>
      <c r="V10" s="1"/>
      <c r="W10" s="1"/>
    </row>
    <row r="11" spans="1:23" x14ac:dyDescent="0.35">
      <c r="A11" t="s">
        <v>23</v>
      </c>
      <c r="B11" s="1">
        <f t="shared" ref="B11:B21" si="2">$D$2</f>
        <v>0</v>
      </c>
      <c r="C11" s="1">
        <f t="shared" si="0"/>
        <v>0</v>
      </c>
      <c r="D11" s="1">
        <f t="shared" si="1"/>
        <v>0</v>
      </c>
      <c r="E11" s="1"/>
      <c r="F11" s="1"/>
      <c r="G11" s="1">
        <f t="shared" ref="G11:G21" si="3">B11+C11+D11+E11+F11</f>
        <v>0</v>
      </c>
      <c r="H11" s="1">
        <v>4</v>
      </c>
      <c r="I11" s="1">
        <f t="shared" ref="I11:I21" si="4">IF((B11*12)/52&lt;559.31,(B11*12)/52*H11,559.31*H11)</f>
        <v>0</v>
      </c>
      <c r="J11" s="1"/>
      <c r="K11" s="1">
        <f t="shared" ref="K11:K21" si="5">IF(J11="A",6.62*H11,
 IF(J11="B",MIN(22.94*H11,ROUND(I11*0.1,2)),
 IF(J11="C",
    IF($C$6&lt;DATE(1962,1,1),
        MIN(49.04*H11,ROUND(I11*0.1,2)),
        MIN(55.93*H11,ROUND(I11*0.1,2))
    ),
 IF(J11="D",
    IF($C$6&lt;DATE(1962,1,1),
        49.04*H11,
        55.93*H11
    ),
 0))))</f>
        <v>0</v>
      </c>
      <c r="L11" s="1">
        <f>G11-C11</f>
        <v>0</v>
      </c>
      <c r="M11" s="1">
        <f>M10+L11</f>
        <v>0</v>
      </c>
      <c r="N11" s="1">
        <f>N10+P11</f>
        <v>0</v>
      </c>
      <c r="O11" s="1">
        <v>2</v>
      </c>
      <c r="P11" s="2">
        <f>IF($C$2&lt;=12000,
0,
IF($C$2&lt;=16000,
(((M11/O11*12)*15%)-1800)/12*O11-N10,
IF($C$2&lt;=60000,
(((M11/O11*12)*25%)-3400)/12*O11-N10,
(((M11/O11*12)*35%)-9400)/12*O11-N10
)))</f>
        <v>0</v>
      </c>
      <c r="Q11" s="1">
        <f t="shared" ref="Q11:Q21" si="6">G11-K11-P11</f>
        <v>0</v>
      </c>
      <c r="R11" s="1"/>
      <c r="S11" s="1"/>
      <c r="T11" s="1"/>
      <c r="U11" s="1"/>
      <c r="V11" s="1"/>
      <c r="W11" s="1"/>
    </row>
    <row r="12" spans="1:23" x14ac:dyDescent="0.35">
      <c r="A12" t="s">
        <v>24</v>
      </c>
      <c r="B12" s="1">
        <f t="shared" si="2"/>
        <v>0</v>
      </c>
      <c r="C12" s="1">
        <f t="shared" si="0"/>
        <v>0</v>
      </c>
      <c r="D12" s="1">
        <f t="shared" si="1"/>
        <v>0</v>
      </c>
      <c r="E12" s="1"/>
      <c r="F12" s="1">
        <v>121.16</v>
      </c>
      <c r="G12" s="1">
        <f t="shared" si="3"/>
        <v>121.16</v>
      </c>
      <c r="H12" s="1">
        <v>5</v>
      </c>
      <c r="I12" s="1">
        <f t="shared" si="4"/>
        <v>0</v>
      </c>
      <c r="J12" s="1"/>
      <c r="K12" s="1">
        <f t="shared" si="5"/>
        <v>0</v>
      </c>
      <c r="L12" s="1">
        <f>G12-C12</f>
        <v>121.16</v>
      </c>
      <c r="M12" s="1">
        <f t="shared" ref="M12:M20" si="7">M11+L12</f>
        <v>121.16</v>
      </c>
      <c r="N12" s="1">
        <f t="shared" ref="N12:N21" si="8">N11+P12</f>
        <v>0</v>
      </c>
      <c r="O12" s="1">
        <v>3</v>
      </c>
      <c r="P12" s="2">
        <f t="shared" ref="P12:P21" si="9">IF($C$2&lt;=12000,
0,
IF($C$2&lt;=16000,
(((M12/O12*12)*15%)-1800)/12*O12-N11,
IF($C$2&lt;=60000,
(((M12/O12*12)*25%)-3400)/12*O12-N11,
(((M12/O12*12)*35%)-9400)/12*O12-N11
)))</f>
        <v>0</v>
      </c>
      <c r="Q12" s="1">
        <f t="shared" si="6"/>
        <v>121.16</v>
      </c>
      <c r="R12" s="1"/>
      <c r="S12" s="1"/>
      <c r="T12" s="1"/>
      <c r="U12" s="1"/>
      <c r="V12" s="1"/>
      <c r="W12" s="1"/>
    </row>
    <row r="13" spans="1:23" x14ac:dyDescent="0.35">
      <c r="A13" t="s">
        <v>25</v>
      </c>
      <c r="B13" s="1">
        <f t="shared" si="2"/>
        <v>0</v>
      </c>
      <c r="C13" s="1">
        <f t="shared" si="0"/>
        <v>0</v>
      </c>
      <c r="D13" s="1">
        <f t="shared" si="1"/>
        <v>0</v>
      </c>
      <c r="E13" s="1"/>
      <c r="F13" s="1"/>
      <c r="G13" s="1">
        <f t="shared" si="3"/>
        <v>0</v>
      </c>
      <c r="H13" s="1">
        <v>4</v>
      </c>
      <c r="I13" s="1">
        <f t="shared" si="4"/>
        <v>0</v>
      </c>
      <c r="J13" s="1"/>
      <c r="K13" s="1">
        <f t="shared" si="5"/>
        <v>0</v>
      </c>
      <c r="L13" s="1">
        <f t="shared" ref="L13:L21" si="10">G13-C13</f>
        <v>0</v>
      </c>
      <c r="M13" s="1">
        <f t="shared" si="7"/>
        <v>121.16</v>
      </c>
      <c r="N13" s="1">
        <f t="shared" si="8"/>
        <v>0</v>
      </c>
      <c r="O13" s="1">
        <v>4</v>
      </c>
      <c r="P13" s="2">
        <f t="shared" si="9"/>
        <v>0</v>
      </c>
      <c r="Q13" s="1">
        <f t="shared" si="6"/>
        <v>0</v>
      </c>
      <c r="R13" s="1"/>
      <c r="S13" s="1"/>
      <c r="T13" s="1"/>
      <c r="U13" s="1"/>
      <c r="V13" s="1"/>
      <c r="W13" s="1"/>
    </row>
    <row r="14" spans="1:23" x14ac:dyDescent="0.35">
      <c r="A14" t="s">
        <v>26</v>
      </c>
      <c r="B14" s="1">
        <f t="shared" si="2"/>
        <v>0</v>
      </c>
      <c r="C14" s="1">
        <f t="shared" si="0"/>
        <v>0</v>
      </c>
      <c r="D14" s="1">
        <f t="shared" si="1"/>
        <v>0</v>
      </c>
      <c r="E14" s="1"/>
      <c r="F14" s="1"/>
      <c r="G14" s="1">
        <f t="shared" si="3"/>
        <v>0</v>
      </c>
      <c r="H14" s="1">
        <v>4</v>
      </c>
      <c r="I14" s="1">
        <f t="shared" si="4"/>
        <v>0</v>
      </c>
      <c r="J14" s="1"/>
      <c r="K14" s="1">
        <f t="shared" si="5"/>
        <v>0</v>
      </c>
      <c r="L14" s="1">
        <f t="shared" si="10"/>
        <v>0</v>
      </c>
      <c r="M14" s="1">
        <f t="shared" si="7"/>
        <v>121.16</v>
      </c>
      <c r="N14" s="1">
        <f t="shared" si="8"/>
        <v>0</v>
      </c>
      <c r="O14" s="1">
        <v>5</v>
      </c>
      <c r="P14" s="2">
        <f t="shared" si="9"/>
        <v>0</v>
      </c>
      <c r="Q14" s="1">
        <f t="shared" si="6"/>
        <v>0</v>
      </c>
      <c r="R14" s="1"/>
      <c r="S14" s="1"/>
      <c r="T14" s="1"/>
      <c r="U14" s="1"/>
      <c r="V14" s="1"/>
      <c r="W14" s="1"/>
    </row>
    <row r="15" spans="1:23" x14ac:dyDescent="0.35">
      <c r="A15" t="s">
        <v>27</v>
      </c>
      <c r="B15" s="1">
        <f t="shared" si="2"/>
        <v>0</v>
      </c>
      <c r="C15" s="1">
        <f t="shared" si="0"/>
        <v>0</v>
      </c>
      <c r="D15" s="1">
        <f t="shared" si="1"/>
        <v>0</v>
      </c>
      <c r="E15" s="1"/>
      <c r="F15" s="1">
        <v>135.1</v>
      </c>
      <c r="G15" s="1">
        <f t="shared" si="3"/>
        <v>135.1</v>
      </c>
      <c r="H15" s="1">
        <v>5</v>
      </c>
      <c r="I15" s="1">
        <f t="shared" si="4"/>
        <v>0</v>
      </c>
      <c r="J15" s="1"/>
      <c r="K15" s="1">
        <f t="shared" si="5"/>
        <v>0</v>
      </c>
      <c r="L15" s="1">
        <f t="shared" si="10"/>
        <v>135.1</v>
      </c>
      <c r="M15" s="1">
        <f t="shared" si="7"/>
        <v>256.26</v>
      </c>
      <c r="N15" s="1">
        <f t="shared" si="8"/>
        <v>0</v>
      </c>
      <c r="O15" s="1">
        <v>6</v>
      </c>
      <c r="P15" s="2">
        <f t="shared" si="9"/>
        <v>0</v>
      </c>
      <c r="Q15" s="1">
        <f t="shared" si="6"/>
        <v>135.1</v>
      </c>
      <c r="R15" s="1"/>
      <c r="S15" s="1"/>
      <c r="T15" s="1"/>
      <c r="U15" s="1"/>
      <c r="V15" s="1"/>
      <c r="W15" s="1"/>
    </row>
    <row r="16" spans="1:23" x14ac:dyDescent="0.35">
      <c r="A16" t="s">
        <v>28</v>
      </c>
      <c r="B16" s="1">
        <f t="shared" si="2"/>
        <v>0</v>
      </c>
      <c r="C16" s="1">
        <f t="shared" si="0"/>
        <v>0</v>
      </c>
      <c r="D16" s="1">
        <f t="shared" si="1"/>
        <v>0</v>
      </c>
      <c r="E16" s="1"/>
      <c r="F16" s="1"/>
      <c r="G16" s="1">
        <f t="shared" si="3"/>
        <v>0</v>
      </c>
      <c r="H16" s="1">
        <v>4</v>
      </c>
      <c r="I16" s="1">
        <f t="shared" si="4"/>
        <v>0</v>
      </c>
      <c r="J16" s="1"/>
      <c r="K16" s="1">
        <f t="shared" si="5"/>
        <v>0</v>
      </c>
      <c r="L16" s="1">
        <f t="shared" si="10"/>
        <v>0</v>
      </c>
      <c r="M16" s="1">
        <f t="shared" si="7"/>
        <v>256.26</v>
      </c>
      <c r="N16" s="1">
        <f t="shared" si="8"/>
        <v>0</v>
      </c>
      <c r="O16" s="1">
        <v>7</v>
      </c>
      <c r="P16" s="2">
        <f t="shared" si="9"/>
        <v>0</v>
      </c>
      <c r="Q16" s="1">
        <f t="shared" si="6"/>
        <v>0</v>
      </c>
      <c r="R16" s="1"/>
      <c r="S16" s="1"/>
      <c r="T16" s="1"/>
      <c r="U16" s="1"/>
      <c r="V16" s="1"/>
      <c r="W16" s="1"/>
    </row>
    <row r="17" spans="1:23" x14ac:dyDescent="0.35">
      <c r="A17" t="s">
        <v>29</v>
      </c>
      <c r="B17" s="1">
        <f t="shared" si="2"/>
        <v>0</v>
      </c>
      <c r="C17" s="1">
        <f t="shared" si="0"/>
        <v>0</v>
      </c>
      <c r="D17" s="1">
        <f t="shared" si="1"/>
        <v>0</v>
      </c>
      <c r="E17" s="1"/>
      <c r="F17" s="1"/>
      <c r="G17" s="1">
        <f t="shared" si="3"/>
        <v>0</v>
      </c>
      <c r="H17" s="1">
        <v>5</v>
      </c>
      <c r="I17" s="1">
        <f t="shared" si="4"/>
        <v>0</v>
      </c>
      <c r="J17" s="1"/>
      <c r="K17" s="1">
        <f t="shared" si="5"/>
        <v>0</v>
      </c>
      <c r="L17" s="1">
        <f t="shared" si="10"/>
        <v>0</v>
      </c>
      <c r="M17" s="1">
        <f t="shared" si="7"/>
        <v>256.26</v>
      </c>
      <c r="N17" s="1">
        <f t="shared" si="8"/>
        <v>0</v>
      </c>
      <c r="O17" s="1">
        <v>8</v>
      </c>
      <c r="P17" s="2">
        <f t="shared" si="9"/>
        <v>0</v>
      </c>
      <c r="Q17" s="1">
        <f t="shared" si="6"/>
        <v>0</v>
      </c>
      <c r="R17" s="1"/>
      <c r="S17" s="1"/>
      <c r="T17" s="1"/>
      <c r="U17" s="1"/>
      <c r="V17" s="1"/>
      <c r="W17" s="1"/>
    </row>
    <row r="18" spans="1:23" x14ac:dyDescent="0.35">
      <c r="A18" t="s">
        <v>30</v>
      </c>
      <c r="B18" s="1">
        <f t="shared" si="2"/>
        <v>0</v>
      </c>
      <c r="C18" s="1">
        <f t="shared" si="0"/>
        <v>0</v>
      </c>
      <c r="D18" s="1">
        <f t="shared" si="1"/>
        <v>0</v>
      </c>
      <c r="E18" s="1"/>
      <c r="F18" s="1">
        <v>121.16</v>
      </c>
      <c r="G18" s="1">
        <f t="shared" si="3"/>
        <v>121.16</v>
      </c>
      <c r="H18" s="1">
        <v>4</v>
      </c>
      <c r="I18" s="1">
        <f t="shared" si="4"/>
        <v>0</v>
      </c>
      <c r="J18" s="1"/>
      <c r="K18" s="1">
        <f t="shared" si="5"/>
        <v>0</v>
      </c>
      <c r="L18" s="1">
        <f t="shared" si="10"/>
        <v>121.16</v>
      </c>
      <c r="M18" s="1">
        <f t="shared" si="7"/>
        <v>377.41999999999996</v>
      </c>
      <c r="N18" s="1">
        <f t="shared" si="8"/>
        <v>0</v>
      </c>
      <c r="O18" s="1">
        <v>9</v>
      </c>
      <c r="P18" s="2">
        <f t="shared" si="9"/>
        <v>0</v>
      </c>
      <c r="Q18" s="1">
        <f t="shared" si="6"/>
        <v>121.16</v>
      </c>
      <c r="R18" s="1"/>
      <c r="S18" s="1"/>
      <c r="T18" s="1"/>
      <c r="U18" s="1"/>
      <c r="V18" s="1"/>
      <c r="W18" s="1"/>
    </row>
    <row r="19" spans="1:23" x14ac:dyDescent="0.35">
      <c r="A19" t="s">
        <v>31</v>
      </c>
      <c r="B19" s="1">
        <f t="shared" si="2"/>
        <v>0</v>
      </c>
      <c r="C19" s="1">
        <f t="shared" si="0"/>
        <v>0</v>
      </c>
      <c r="D19" s="1">
        <f t="shared" si="1"/>
        <v>0</v>
      </c>
      <c r="E19" s="1"/>
      <c r="F19" s="1"/>
      <c r="G19" s="1">
        <f t="shared" si="3"/>
        <v>0</v>
      </c>
      <c r="H19" s="1">
        <v>4</v>
      </c>
      <c r="I19" s="1">
        <f t="shared" si="4"/>
        <v>0</v>
      </c>
      <c r="J19" s="1"/>
      <c r="K19" s="1">
        <f t="shared" si="5"/>
        <v>0</v>
      </c>
      <c r="L19" s="1">
        <f t="shared" si="10"/>
        <v>0</v>
      </c>
      <c r="M19" s="1">
        <f t="shared" si="7"/>
        <v>377.41999999999996</v>
      </c>
      <c r="N19" s="1">
        <f t="shared" si="8"/>
        <v>0</v>
      </c>
      <c r="O19" s="1">
        <v>10</v>
      </c>
      <c r="P19" s="2">
        <f t="shared" si="9"/>
        <v>0</v>
      </c>
      <c r="Q19" s="1">
        <f t="shared" si="6"/>
        <v>0</v>
      </c>
      <c r="R19" s="1"/>
      <c r="S19" s="1"/>
      <c r="T19" s="1"/>
      <c r="U19" s="1"/>
      <c r="V19" s="1"/>
      <c r="W19" s="1"/>
    </row>
    <row r="20" spans="1:23" x14ac:dyDescent="0.35">
      <c r="A20" t="s">
        <v>32</v>
      </c>
      <c r="B20" s="1">
        <f t="shared" si="2"/>
        <v>0</v>
      </c>
      <c r="C20" s="1">
        <f t="shared" si="0"/>
        <v>0</v>
      </c>
      <c r="D20" s="1">
        <f t="shared" si="1"/>
        <v>0</v>
      </c>
      <c r="E20" s="1"/>
      <c r="F20" s="1"/>
      <c r="G20" s="1">
        <f t="shared" si="3"/>
        <v>0</v>
      </c>
      <c r="H20" s="1">
        <v>5</v>
      </c>
      <c r="I20" s="1">
        <f>IF((B20*12)/52&lt;559.31,(B20*12)/52*H20,559.31*H20)</f>
        <v>0</v>
      </c>
      <c r="J20" s="1"/>
      <c r="K20" s="1">
        <f t="shared" si="5"/>
        <v>0</v>
      </c>
      <c r="L20" s="1">
        <f t="shared" si="10"/>
        <v>0</v>
      </c>
      <c r="M20" s="1">
        <f t="shared" si="7"/>
        <v>377.41999999999996</v>
      </c>
      <c r="N20" s="1">
        <f t="shared" si="8"/>
        <v>0</v>
      </c>
      <c r="O20" s="1">
        <v>11</v>
      </c>
      <c r="P20" s="2">
        <f t="shared" si="9"/>
        <v>0</v>
      </c>
      <c r="Q20" s="1">
        <f t="shared" si="6"/>
        <v>0</v>
      </c>
      <c r="R20" s="1"/>
      <c r="S20" s="1"/>
      <c r="T20" s="1"/>
      <c r="U20" s="1"/>
      <c r="V20" s="1"/>
      <c r="W20" s="1"/>
    </row>
    <row r="21" spans="1:23" x14ac:dyDescent="0.35">
      <c r="A21" t="s">
        <v>33</v>
      </c>
      <c r="B21" s="1">
        <f t="shared" si="2"/>
        <v>0</v>
      </c>
      <c r="C21" s="1">
        <f t="shared" si="0"/>
        <v>0</v>
      </c>
      <c r="D21" s="1">
        <f t="shared" si="1"/>
        <v>0</v>
      </c>
      <c r="E21" s="1"/>
      <c r="F21" s="1">
        <v>135.1</v>
      </c>
      <c r="G21" s="1">
        <f t="shared" si="3"/>
        <v>135.1</v>
      </c>
      <c r="H21" s="1">
        <v>4</v>
      </c>
      <c r="I21" s="1">
        <f t="shared" si="4"/>
        <v>0</v>
      </c>
      <c r="J21" s="1"/>
      <c r="K21" s="1">
        <f t="shared" si="5"/>
        <v>0</v>
      </c>
      <c r="L21" s="1">
        <f t="shared" si="10"/>
        <v>135.1</v>
      </c>
      <c r="M21" s="1">
        <f>M20+L21</f>
        <v>512.52</v>
      </c>
      <c r="N21" s="1">
        <f t="shared" si="8"/>
        <v>0</v>
      </c>
      <c r="O21" s="1">
        <v>12</v>
      </c>
      <c r="P21" s="2">
        <f t="shared" si="9"/>
        <v>0</v>
      </c>
      <c r="Q21" s="1">
        <f t="shared" si="6"/>
        <v>135.1</v>
      </c>
      <c r="R21" s="1"/>
      <c r="S21" s="1"/>
      <c r="T21" s="1"/>
      <c r="U21" s="1"/>
      <c r="V21" s="1"/>
      <c r="W21" s="1"/>
    </row>
    <row r="22" spans="1:23" x14ac:dyDescent="0.3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1">
        <f>SUM(Q10:Q21)</f>
        <v>512.52</v>
      </c>
      <c r="R22" s="4"/>
      <c r="S22" s="4"/>
    </row>
    <row r="23" spans="1:23" x14ac:dyDescent="0.35">
      <c r="H23" s="4">
        <f>SUM(H10:H22)</f>
        <v>52</v>
      </c>
    </row>
    <row r="24" spans="1:23" x14ac:dyDescent="0.35">
      <c r="H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8E46-5F52-4811-882F-99A369A29FD0}">
  <dimension ref="A1"/>
  <sheetViews>
    <sheetView workbookViewId="0">
      <selection activeCell="J6" sqref="J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SSC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Tuvana Atik</dc:creator>
  <cp:lastModifiedBy>Tuvana Atik</cp:lastModifiedBy>
  <dcterms:created xsi:type="dcterms:W3CDTF">2026-01-22T09:06:12Z</dcterms:created>
  <dcterms:modified xsi:type="dcterms:W3CDTF">2026-01-22T09:26:35Z</dcterms:modified>
</cp:coreProperties>
</file>